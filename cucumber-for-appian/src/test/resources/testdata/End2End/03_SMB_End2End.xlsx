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HP\IdeaProjects\ORIXAutoExcel\cucumber-for-appian\src\test\resources\testdata\"/>
    </mc:Choice>
  </mc:AlternateContent>
  <xr:revisionPtr revIDLastSave="0" documentId="13_ncr:1_{88F1401E-AD6A-483F-AFA5-C49FFA79E5E7}" xr6:coauthVersionLast="47" xr6:coauthVersionMax="47" xr10:uidLastSave="{00000000-0000-0000-0000-000000000000}"/>
  <bookViews>
    <workbookView xWindow="28680" yWindow="-120" windowWidth="29040" windowHeight="15720" tabRatio="873" xr2:uid="{25A2403C-A232-4567-AEA7-838C07E97658}"/>
  </bookViews>
  <sheets>
    <sheet name="TestData" sheetId="13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2" i="13" l="1"/>
</calcChain>
</file>

<file path=xl/sharedStrings.xml><?xml version="1.0" encoding="utf-8"?>
<sst xmlns="http://schemas.openxmlformats.org/spreadsheetml/2006/main" count="443" uniqueCount="206">
  <si>
    <t>Passenger cars including electric vehicles</t>
  </si>
  <si>
    <t>Make</t>
  </si>
  <si>
    <t>Model</t>
  </si>
  <si>
    <t>Sub Model</t>
  </si>
  <si>
    <t>VIN</t>
  </si>
  <si>
    <t>Registration Number</t>
  </si>
  <si>
    <t>Total Asset Cost (incl. GST)</t>
  </si>
  <si>
    <t>Dealer Origination Fee (excl. GST)</t>
  </si>
  <si>
    <t>Brokerage % (excl. GST)</t>
  </si>
  <si>
    <t>Balloon %</t>
  </si>
  <si>
    <t>ABN</t>
  </si>
  <si>
    <t>Industry Classification</t>
  </si>
  <si>
    <t>Asset Purpose</t>
  </si>
  <si>
    <t>Registered Business Name</t>
  </si>
  <si>
    <t>Business Address</t>
  </si>
  <si>
    <t>First Name</t>
  </si>
  <si>
    <t>Last Name</t>
  </si>
  <si>
    <t>Date Of Birth</t>
  </si>
  <si>
    <t>Residential Status</t>
  </si>
  <si>
    <t>Gender</t>
  </si>
  <si>
    <t>Residential Address</t>
  </si>
  <si>
    <t>Phone Number</t>
  </si>
  <si>
    <t>License Type</t>
  </si>
  <si>
    <t>License Class</t>
  </si>
  <si>
    <t>License State</t>
  </si>
  <si>
    <t>Drivers Licence Number</t>
  </si>
  <si>
    <t>Income Frequency</t>
  </si>
  <si>
    <t>Expenses Frequency</t>
  </si>
  <si>
    <t>Yes</t>
  </si>
  <si>
    <t>Payment Method</t>
  </si>
  <si>
    <t>Passenger or Light Commercial Vehicle</t>
  </si>
  <si>
    <t>Select a Term</t>
  </si>
  <si>
    <t>Deposit Amount</t>
  </si>
  <si>
    <t>Client Name</t>
  </si>
  <si>
    <t>Tier</t>
  </si>
  <si>
    <t>Entity Type</t>
  </si>
  <si>
    <t>Do you want to use ORIX pricing?</t>
  </si>
  <si>
    <t>What services would you like included with your quote?</t>
  </si>
  <si>
    <t>Model Year</t>
  </si>
  <si>
    <t>Engine Type</t>
  </si>
  <si>
    <t>Quote Document
Upload?</t>
  </si>
  <si>
    <t>Middle Name</t>
  </si>
  <si>
    <t xml:space="preserve">
Will the vehicle/asset be stored at an address that is different to the address listed above?  </t>
  </si>
  <si>
    <t xml:space="preserve">
Do you own one or more investment properties?</t>
  </si>
  <si>
    <t xml:space="preserve">Do you have sufficient ongoing monthly cashflow to meet your repayments under this facility taking into account your existing income and expenses, including all your debt &amp; liabilities? </t>
  </si>
  <si>
    <t>Privacy Consent</t>
  </si>
  <si>
    <t>TC001</t>
  </si>
  <si>
    <t>Tier A</t>
  </si>
  <si>
    <t>Select All Privacy Consent check boxes</t>
  </si>
  <si>
    <t>AUDI</t>
  </si>
  <si>
    <t>A1</t>
  </si>
  <si>
    <t>ScenarioId</t>
  </si>
  <si>
    <t>Quote Document</t>
  </si>
  <si>
    <t>What type of asset are you seeking to finance?</t>
  </si>
  <si>
    <t>Do you have a specific passenger or light commercial vehicle in mind?</t>
  </si>
  <si>
    <t>Is the passenger or light commercial vehicle new?</t>
  </si>
  <si>
    <t>What product suits you best?</t>
  </si>
  <si>
    <t>Engine Number</t>
  </si>
  <si>
    <t>Other Comments</t>
  </si>
  <si>
    <t>Application Type</t>
  </si>
  <si>
    <t>New Application[2]</t>
  </si>
  <si>
    <t>Application Number</t>
  </si>
  <si>
    <t>Quote Number</t>
  </si>
  <si>
    <t>Application Status</t>
  </si>
  <si>
    <t>Date Created</t>
  </si>
  <si>
    <t>Last Updated User</t>
  </si>
  <si>
    <t>Industry ANZSIC Code</t>
  </si>
  <si>
    <t>Business Background</t>
  </si>
  <si>
    <t>Citizenship Status</t>
  </si>
  <si>
    <t>Email</t>
  </si>
  <si>
    <t>Income</t>
  </si>
  <si>
    <t>Expenses</t>
  </si>
  <si>
    <t>Client or Applicant</t>
  </si>
  <si>
    <t>Channel Specialist</t>
  </si>
  <si>
    <t>Funding Value</t>
  </si>
  <si>
    <t>GST Registration Date</t>
  </si>
  <si>
    <t>Balloon Payment</t>
  </si>
  <si>
    <t>Specific Asset</t>
  </si>
  <si>
    <t>New Asset</t>
  </si>
  <si>
    <t>Pricing Type</t>
  </si>
  <si>
    <t>Asset Type</t>
  </si>
  <si>
    <t>Monthly GST</t>
  </si>
  <si>
    <t>Total GST</t>
  </si>
  <si>
    <t>Deposit Percentage</t>
  </si>
  <si>
    <t>Balloon Percentage</t>
  </si>
  <si>
    <t>Status</t>
  </si>
  <si>
    <t>Document</t>
  </si>
  <si>
    <t>Dealer Quote Document</t>
  </si>
  <si>
    <t>Decision</t>
  </si>
  <si>
    <t>Reason for Decline</t>
  </si>
  <si>
    <t>Colour</t>
  </si>
  <si>
    <t>Trim</t>
  </si>
  <si>
    <t>Annual Usage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</si>
  <si>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</si>
  <si>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</si>
  <si>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</si>
  <si>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</si>
  <si>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</si>
  <si>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</si>
  <si>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>Delivery Fee (excl GST)</t>
  </si>
  <si>
    <t>Delivery State</t>
  </si>
  <si>
    <t>Third Party Accessories</t>
  </si>
  <si>
    <t>Standard Accessories</t>
  </si>
  <si>
    <t>Services</t>
  </si>
  <si>
    <t>Company Name</t>
  </si>
  <si>
    <t>Vehicle or Asset Category</t>
  </si>
  <si>
    <t>Vehicle or Asset Description</t>
  </si>
  <si>
    <t>Justification</t>
  </si>
  <si>
    <t>Rental Agreement</t>
  </si>
  <si>
    <t>Financial Statements</t>
  </si>
  <si>
    <t>Total Cost of Lease</t>
  </si>
  <si>
    <t>Monthly Rental</t>
  </si>
  <si>
    <t>Residual Percentage</t>
  </si>
  <si>
    <t>Conditions of Approval</t>
  </si>
  <si>
    <t>Comments</t>
  </si>
  <si>
    <t>TC002</t>
  </si>
  <si>
    <t>${TC001.Application Number}</t>
  </si>
  <si>
    <t>${TC001.Quote Number}</t>
  </si>
  <si>
    <t>${TC001.Client or Applicant}</t>
  </si>
  <si>
    <t>${TC001.Last Updated User}</t>
  </si>
  <si>
    <t>${TC001.Application Status}</t>
  </si>
  <si>
    <t>No</t>
  </si>
  <si>
    <t>Proceeded</t>
  </si>
  <si>
    <t>Download</t>
  </si>
  <si>
    <t>Credit Officer</t>
  </si>
  <si>
    <t>Automation Credit Manager</t>
  </si>
  <si>
    <t>Copy of current council rates notice to be provided to confirm property ownership.</t>
  </si>
  <si>
    <t>TC003</t>
  </si>
  <si>
    <t>TC004</t>
  </si>
  <si>
    <t>Conditional Approval</t>
  </si>
  <si>
    <t>The Trustee for AKA Trust</t>
  </si>
  <si>
    <t>Trust</t>
  </si>
  <si>
    <t>Yes, it is for a new asset</t>
  </si>
  <si>
    <t>No, I have a quote from a dealer</t>
  </si>
  <si>
    <t>Finance Lease with Services</t>
  </si>
  <si>
    <t>Glacier White, Metallic</t>
  </si>
  <si>
    <t>Sport front seats in leather appointed upholstery</t>
  </si>
  <si>
    <t>NSW</t>
  </si>
  <si>
    <t>40 TFSI S tronic S line Sportback</t>
  </si>
  <si>
    <t>Roadside Assistance</t>
  </si>
  <si>
    <t>45 Malonga Ave, Kellyville NSW 2155</t>
  </si>
  <si>
    <t>A AGRICULTURE, FORESTRY AND FISHING</t>
  </si>
  <si>
    <t>012 Mushroom and Vegetable Growing</t>
  </si>
  <si>
    <t>Agriculture</t>
  </si>
  <si>
    <t>Agriculture advertisement</t>
  </si>
  <si>
    <t>Monica</t>
  </si>
  <si>
    <t>NA</t>
  </si>
  <si>
    <t>Smith</t>
  </si>
  <si>
    <t>Australian Citizen</t>
  </si>
  <si>
    <t>24/08/1990</t>
  </si>
  <si>
    <t>Female</t>
  </si>
  <si>
    <t>Homeowner</t>
  </si>
  <si>
    <t>+61448558866</t>
  </si>
  <si>
    <t>monica@trust.co.au</t>
  </si>
  <si>
    <t>Provisional</t>
  </si>
  <si>
    <t>Light Rigid (LR)</t>
  </si>
  <si>
    <t>I don't have sufficient ongoing monthly cashflow to meet my repayments under this facility</t>
  </si>
  <si>
    <t>Documents to be upload:
Trust Deed
Financial Statements</t>
  </si>
  <si>
    <t>Trust Deed</t>
  </si>
  <si>
    <t>D:\ORIX_AUS\UploadDocs\Trust_Deed.pdf</t>
  </si>
  <si>
    <t>D:\ORIX_AUS\UploadDocs\Financial_Statement_Document.pdf</t>
  </si>
  <si>
    <t>D:\ORIX_AUS\UploadDocs\Quote_Document.pdf</t>
  </si>
  <si>
    <t>24 months</t>
  </si>
  <si>
    <t>Processing</t>
  </si>
  <si>
    <t>Automation Introducer</t>
  </si>
  <si>
    <t>20/06/2025</t>
  </si>
  <si>
    <t>Trust Type</t>
  </si>
  <si>
    <t>Testamentary Trust</t>
  </si>
  <si>
    <t>24th Aug 1990</t>
  </si>
  <si>
    <t>Roles</t>
  </si>
  <si>
    <t>Trustee, Beneficiary</t>
  </si>
  <si>
    <t>Percentage Rights</t>
  </si>
  <si>
    <t>HONDA AUSTRALIA PTY. LTD.</t>
  </si>
  <si>
    <t>Trustee 1 ABN</t>
  </si>
  <si>
    <t>004759611</t>
  </si>
  <si>
    <t>ACN</t>
  </si>
  <si>
    <t>$56,618.18</t>
  </si>
  <si>
    <t>$76,175.38</t>
  </si>
  <si>
    <t>$1,497.35</t>
  </si>
  <si>
    <t>Dealer Pricing</t>
  </si>
  <si>
    <t>$149.74</t>
  </si>
  <si>
    <t>64.72%</t>
  </si>
  <si>
    <t>$3,593.76</t>
  </si>
  <si>
    <t>$910.00</t>
  </si>
  <si>
    <t>$6,000.00</t>
  </si>
  <si>
    <t>$240.00</t>
  </si>
  <si>
    <t>$510.00</t>
  </si>
  <si>
    <t>$350.00</t>
  </si>
  <si>
    <t>$330.00</t>
  </si>
  <si>
    <t>$1,230.00</t>
  </si>
  <si>
    <t>$420.00</t>
  </si>
  <si>
    <t>$600.00</t>
  </si>
  <si>
    <t>5,000 KM</t>
  </si>
  <si>
    <t>Registration Fee (excl GST)</t>
  </si>
  <si>
    <t>CTPI Fee (excl GST)</t>
  </si>
  <si>
    <t>ENQ Number</t>
  </si>
  <si>
    <t>${TC001.ENQ Number}</t>
  </si>
  <si>
    <t>APP-607</t>
  </si>
  <si>
    <t>4263426-1-1
4263426-1-1</t>
  </si>
  <si>
    <t>02 Feb 2026 07:35 PM</t>
  </si>
  <si>
    <t>APP-667</t>
  </si>
  <si>
    <t>4263581-1-1
4263581-1-1</t>
  </si>
  <si>
    <t>11 Feb 2026 06:43 PM</t>
  </si>
  <si>
    <t>APP-676</t>
  </si>
  <si>
    <t>4263585-1-1
4263585-1-1</t>
  </si>
  <si>
    <t>11 Feb 2026 09:05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</si>
</sst>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10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left" vertical="top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top" wrapText="1"/>
    </xf>
    <xf numFmtId="0" fontId="6" fillId="3" borderId="1" xfId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monica@trust.co.au" TargetMode="External" Type="http://schemas.openxmlformats.org/officeDocument/2006/relationships/hyperlink"/><Relationship Id="rId2" Target="mailto:monica@trust.co.au" TargetMode="External" Type="http://schemas.openxmlformats.org/officeDocument/2006/relationships/hyperlink"/><Relationship Id="rId3" Target="mailto:monica@trust.co.au" TargetMode="External" Type="http://schemas.openxmlformats.org/officeDocument/2006/relationships/hyperlink"/><Relationship Id="rId4" Target="mailto:monica@trust.co.au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027D-BEC0-4DD3-B183-0B5114D5717E}">
  <dimension ref="A1:DO22"/>
  <sheetViews>
    <sheetView tabSelected="1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O2" sqref="DO2"/>
    </sheetView>
  </sheetViews>
  <sheetFormatPr defaultRowHeight="14.4" x14ac:dyDescent="0.3"/>
  <cols>
    <col min="1" max="1" customWidth="true" width="9.109375"/>
    <col min="2" max="2" customWidth="true" width="11.0"/>
    <col min="3" max="3" customWidth="true" width="14.5546875"/>
    <col min="4" max="4" customWidth="true" width="4.21875"/>
    <col min="5" max="5" customWidth="true" width="7.0"/>
    <col min="6" max="6" customWidth="true" width="16.33203125"/>
    <col min="7" max="7" customWidth="true" width="12.77734375"/>
    <col min="8" max="8" customWidth="true" width="9.77734375"/>
    <col min="9" max="9" customWidth="true" width="8.44140625"/>
    <col min="10" max="10" customWidth="true" width="9.5546875"/>
    <col min="11" max="11" customWidth="true" width="17.5546875"/>
    <col min="12" max="12" customWidth="true" width="10.88671875"/>
    <col min="13" max="15" customWidth="true" width="11.88671875"/>
    <col min="16" max="16" customWidth="true" width="14.88671875"/>
    <col min="17" max="17" customWidth="true" width="8.33203125"/>
    <col min="18" max="18" customWidth="true" width="11.6640625"/>
    <col min="19" max="19" customWidth="true" width="9.109375"/>
    <col min="20" max="20" customWidth="true" width="11.0"/>
    <col min="21" max="21" customWidth="true" width="8.88671875"/>
    <col min="22" max="22" customWidth="true" width="8.6640625"/>
    <col min="23" max="24" customWidth="true" width="9.33203125"/>
    <col min="25" max="25" customWidth="true" width="8.77734375"/>
    <col min="26" max="26" customWidth="true" width="7.77734375"/>
    <col min="27" max="27" customWidth="true" width="8.0"/>
    <col min="28" max="28" customWidth="true" width="11.77734375"/>
    <col min="29" max="29" customWidth="true" width="8.0"/>
    <col min="30" max="30" customWidth="true" width="9.109375"/>
    <col min="32" max="32" customWidth="true" width="8.5546875"/>
    <col min="33" max="36" customWidth="true" width="8.44140625"/>
    <col min="38" max="38" customWidth="true" width="6.33203125"/>
    <col min="39" max="39" customWidth="true" width="14.5546875"/>
    <col min="40" max="40" customWidth="true" width="6.88671875"/>
    <col min="41" max="41" customWidth="true" width="5.77734375"/>
    <col min="42" max="42" customWidth="true" width="11.109375"/>
    <col min="43" max="43" customWidth="true" width="9.88671875"/>
    <col min="44" max="44" customWidth="true" width="4.77734375"/>
    <col min="45" max="45" customWidth="true" width="9.88671875"/>
    <col min="46" max="46" customWidth="true" width="7.0"/>
    <col min="47" max="47" customWidth="true" width="8.88671875"/>
    <col min="48" max="48" customWidth="true" width="13.6640625"/>
    <col min="49" max="49" customWidth="true" width="15.33203125"/>
    <col min="50" max="50" customWidth="true" width="21.33203125"/>
    <col min="51" max="52" customWidth="true" width="13.109375"/>
    <col min="53" max="53" customWidth="true" width="12.6640625"/>
    <col min="54" max="54" customWidth="true" width="13.77734375"/>
    <col min="55" max="55" customWidth="true" width="15.88671875"/>
    <col min="56" max="56" customWidth="true" width="21.44140625"/>
    <col min="57" max="57" customWidth="true" width="18.6640625"/>
    <col min="58" max="58" customWidth="true" width="18.33203125"/>
    <col min="59" max="59" customWidth="true" width="19.109375"/>
    <col min="60" max="60" customWidth="true" width="8.6640625"/>
    <col min="61" max="61" customWidth="true" width="7.77734375"/>
    <col min="62" max="62" customWidth="true" width="12.6640625"/>
    <col min="63" max="63" customWidth="true" width="10.109375"/>
    <col min="64" max="64" customWidth="true" width="11.88671875"/>
    <col min="65" max="65" customWidth="true" width="7.6640625"/>
    <col min="66" max="66" customWidth="true" width="12.33203125"/>
    <col min="67" max="67" customWidth="true" width="10.109375"/>
    <col min="68" max="68" customWidth="true" width="12.0"/>
    <col min="69" max="69" customWidth="true" width="12.109375"/>
    <col min="70" max="70" customWidth="true" width="8.6640625"/>
    <col min="71" max="71" customWidth="true" width="10.109375"/>
    <col min="72" max="72" customWidth="true" width="9.21875"/>
    <col min="73" max="74" customWidth="true" width="12.109375"/>
    <col min="75" max="75" customWidth="true" width="13.5546875"/>
    <col min="76" max="76" customWidth="true" width="10.109375"/>
    <col min="77" max="78" customWidth="true" width="23.109375"/>
    <col min="79" max="79" customWidth="true" width="7.44140625"/>
    <col min="80" max="80" customWidth="true" width="10.33203125"/>
    <col min="81" max="81" customWidth="true" width="8.5546875"/>
    <col min="82" max="82" customWidth="true" width="9.6640625"/>
    <col min="83" max="83" customWidth="true" width="7.21875"/>
    <col min="84" max="84" customWidth="true" width="10.0"/>
    <col min="85" max="85" customWidth="true" width="14.6640625"/>
    <col min="86" max="86" customWidth="true" width="9.5546875"/>
    <col min="87" max="87" customWidth="true" width="15.0"/>
    <col min="88" max="88" customWidth="true" width="16.6640625"/>
    <col min="89" max="89" customWidth="true" width="14.6640625"/>
    <col min="90" max="90" customWidth="true" width="19.77734375"/>
    <col min="91" max="91" customWidth="true" width="16.88671875"/>
    <col min="92" max="97" customWidth="true" width="14.6640625"/>
    <col min="98" max="98" customWidth="true" width="11.88671875"/>
    <col min="99" max="102" customWidth="true" width="14.6640625"/>
    <col min="103" max="103" customWidth="true" width="7.109375"/>
    <col min="104" max="104" customWidth="true" width="5.6640625"/>
    <col min="105" max="105" customWidth="true" width="8.5546875"/>
    <col min="106" max="107" customWidth="true" width="14.6640625"/>
    <col min="108" max="108" customWidth="true" width="10.44140625"/>
    <col min="109" max="109" customWidth="true" width="9.109375"/>
    <col min="110" max="110" customWidth="true" width="9.5546875"/>
    <col min="111" max="111" customWidth="true" width="9.6640625"/>
    <col min="112" max="112" customWidth="true" width="10.77734375"/>
    <col min="113" max="113" customWidth="true" width="9.21875"/>
    <col min="114" max="114" customWidth="true" width="11.77734375"/>
    <col min="115" max="115" customWidth="true" width="14.6640625"/>
    <col min="116" max="116" customWidth="true" width="16.21875"/>
    <col min="117" max="117" customWidth="true" width="9.21875"/>
    <col min="118" max="118" customWidth="true" width="14.6640625"/>
    <col min="119" max="119" customWidth="true" width="23.33203125"/>
  </cols>
  <sheetData>
    <row r="1" spans="1:119" s="3" customFormat="1" ht="110.4" x14ac:dyDescent="0.3">
      <c r="A1" s="1" t="s">
        <v>51</v>
      </c>
      <c r="B1" s="1" t="s">
        <v>33</v>
      </c>
      <c r="C1" s="1" t="s">
        <v>10</v>
      </c>
      <c r="D1" s="1" t="s">
        <v>34</v>
      </c>
      <c r="E1" s="2" t="s">
        <v>35</v>
      </c>
      <c r="F1" s="2" t="s">
        <v>53</v>
      </c>
      <c r="G1" s="2" t="s">
        <v>54</v>
      </c>
      <c r="H1" s="2" t="s">
        <v>55</v>
      </c>
      <c r="I1" s="2" t="s">
        <v>36</v>
      </c>
      <c r="J1" s="2" t="s">
        <v>56</v>
      </c>
      <c r="K1" s="2" t="s">
        <v>105</v>
      </c>
      <c r="L1" s="2" t="s">
        <v>106</v>
      </c>
      <c r="M1" s="2" t="s">
        <v>90</v>
      </c>
      <c r="N1" s="2" t="s">
        <v>91</v>
      </c>
      <c r="O1" s="2" t="s">
        <v>92</v>
      </c>
      <c r="P1" s="2" t="s">
        <v>6</v>
      </c>
      <c r="Q1" s="2" t="s">
        <v>32</v>
      </c>
      <c r="R1" s="2" t="s">
        <v>82</v>
      </c>
      <c r="S1" s="2" t="s">
        <v>7</v>
      </c>
      <c r="T1" s="2" t="s">
        <v>8</v>
      </c>
      <c r="U1" s="2" t="s">
        <v>9</v>
      </c>
      <c r="V1" s="6" t="s">
        <v>93</v>
      </c>
      <c r="W1" s="6" t="s">
        <v>94</v>
      </c>
      <c r="X1" s="6" t="s">
        <v>95</v>
      </c>
      <c r="Y1" s="6" t="s">
        <v>96</v>
      </c>
      <c r="Z1" s="6" t="s">
        <v>97</v>
      </c>
      <c r="AA1" s="6" t="s">
        <v>98</v>
      </c>
      <c r="AB1" s="6" t="s">
        <v>193</v>
      </c>
      <c r="AC1" s="6" t="s">
        <v>194</v>
      </c>
      <c r="AD1" s="6" t="s">
        <v>99</v>
      </c>
      <c r="AE1" s="2" t="s">
        <v>29</v>
      </c>
      <c r="AF1" s="2" t="s">
        <v>37</v>
      </c>
      <c r="AG1" s="2" t="s">
        <v>31</v>
      </c>
      <c r="AH1" s="2" t="s">
        <v>100</v>
      </c>
      <c r="AI1" s="2" t="s">
        <v>101</v>
      </c>
      <c r="AJ1" s="2" t="s">
        <v>102</v>
      </c>
      <c r="AK1" s="2" t="s">
        <v>1</v>
      </c>
      <c r="AL1" s="2" t="s">
        <v>2</v>
      </c>
      <c r="AM1" s="2" t="s">
        <v>3</v>
      </c>
      <c r="AN1" s="2" t="s">
        <v>38</v>
      </c>
      <c r="AO1" s="2" t="s">
        <v>39</v>
      </c>
      <c r="AP1" s="2" t="s">
        <v>103</v>
      </c>
      <c r="AQ1" s="2" t="s">
        <v>40</v>
      </c>
      <c r="AR1" s="2" t="s">
        <v>4</v>
      </c>
      <c r="AS1" s="2" t="s">
        <v>5</v>
      </c>
      <c r="AT1" s="2" t="s">
        <v>57</v>
      </c>
      <c r="AU1" s="2" t="s">
        <v>58</v>
      </c>
      <c r="AV1" s="2" t="s">
        <v>59</v>
      </c>
      <c r="AW1" s="2" t="s">
        <v>10</v>
      </c>
      <c r="AX1" s="2" t="s">
        <v>13</v>
      </c>
      <c r="AY1" s="2" t="s">
        <v>173</v>
      </c>
      <c r="AZ1" s="2" t="s">
        <v>175</v>
      </c>
      <c r="BA1" s="2" t="s">
        <v>104</v>
      </c>
      <c r="BB1" s="2" t="s">
        <v>166</v>
      </c>
      <c r="BC1" s="2" t="s">
        <v>14</v>
      </c>
      <c r="BD1" s="2" t="s">
        <v>66</v>
      </c>
      <c r="BE1" s="2" t="s">
        <v>11</v>
      </c>
      <c r="BF1" s="2" t="s">
        <v>67</v>
      </c>
      <c r="BG1" s="2" t="s">
        <v>12</v>
      </c>
      <c r="BH1" s="2" t="s">
        <v>15</v>
      </c>
      <c r="BI1" s="2" t="s">
        <v>41</v>
      </c>
      <c r="BJ1" s="2" t="s">
        <v>16</v>
      </c>
      <c r="BK1" s="2" t="s">
        <v>68</v>
      </c>
      <c r="BL1" s="2" t="s">
        <v>17</v>
      </c>
      <c r="BM1" s="2" t="s">
        <v>19</v>
      </c>
      <c r="BN1" s="2" t="s">
        <v>18</v>
      </c>
      <c r="BO1" s="2" t="s">
        <v>20</v>
      </c>
      <c r="BP1" s="2" t="s">
        <v>21</v>
      </c>
      <c r="BQ1" s="2" t="s">
        <v>69</v>
      </c>
      <c r="BR1" s="2" t="s">
        <v>22</v>
      </c>
      <c r="BS1" s="2" t="s">
        <v>23</v>
      </c>
      <c r="BT1" s="2" t="s">
        <v>24</v>
      </c>
      <c r="BU1" s="2" t="s">
        <v>25</v>
      </c>
      <c r="BV1" s="2" t="s">
        <v>169</v>
      </c>
      <c r="BW1" s="2" t="s">
        <v>42</v>
      </c>
      <c r="BX1" s="2" t="s">
        <v>43</v>
      </c>
      <c r="BY1" s="2" t="s">
        <v>44</v>
      </c>
      <c r="BZ1" s="2" t="s">
        <v>107</v>
      </c>
      <c r="CA1" s="2" t="s">
        <v>70</v>
      </c>
      <c r="CB1" s="2" t="s">
        <v>26</v>
      </c>
      <c r="CC1" s="2" t="s">
        <v>71</v>
      </c>
      <c r="CD1" s="2" t="s">
        <v>27</v>
      </c>
      <c r="CE1" s="2" t="s">
        <v>74</v>
      </c>
      <c r="CF1" s="2" t="s">
        <v>171</v>
      </c>
      <c r="CG1" s="2" t="s">
        <v>45</v>
      </c>
      <c r="CH1" s="2" t="s">
        <v>108</v>
      </c>
      <c r="CI1" s="2" t="s">
        <v>158</v>
      </c>
      <c r="CJ1" s="2" t="s">
        <v>109</v>
      </c>
      <c r="CK1" s="2" t="s">
        <v>52</v>
      </c>
      <c r="CL1" s="2" t="s">
        <v>61</v>
      </c>
      <c r="CM1" s="2" t="s">
        <v>195</v>
      </c>
      <c r="CN1" s="2" t="s">
        <v>62</v>
      </c>
      <c r="CO1" s="2" t="s">
        <v>72</v>
      </c>
      <c r="CP1" s="2" t="s">
        <v>63</v>
      </c>
      <c r="CQ1" s="2" t="s">
        <v>64</v>
      </c>
      <c r="CR1" s="2" t="s">
        <v>65</v>
      </c>
      <c r="CS1" s="2" t="s">
        <v>73</v>
      </c>
      <c r="CT1" s="2" t="s">
        <v>74</v>
      </c>
      <c r="CU1" s="2" t="s">
        <v>75</v>
      </c>
      <c r="CV1" s="2" t="s">
        <v>76</v>
      </c>
      <c r="CW1" s="2" t="s">
        <v>110</v>
      </c>
      <c r="CX1" s="2" t="s">
        <v>111</v>
      </c>
      <c r="CY1" s="2" t="s">
        <v>77</v>
      </c>
      <c r="CZ1" s="2" t="s">
        <v>78</v>
      </c>
      <c r="DA1" s="2" t="s">
        <v>29</v>
      </c>
      <c r="DB1" s="2" t="s">
        <v>79</v>
      </c>
      <c r="DC1" s="2" t="s">
        <v>80</v>
      </c>
      <c r="DD1" s="2" t="s">
        <v>81</v>
      </c>
      <c r="DE1" s="2" t="s">
        <v>83</v>
      </c>
      <c r="DF1" s="2" t="s">
        <v>112</v>
      </c>
      <c r="DG1" s="2" t="s">
        <v>84</v>
      </c>
      <c r="DH1" s="2" t="s">
        <v>85</v>
      </c>
      <c r="DI1" s="2" t="s">
        <v>86</v>
      </c>
      <c r="DJ1" s="2" t="s">
        <v>87</v>
      </c>
      <c r="DK1" s="2" t="s">
        <v>88</v>
      </c>
      <c r="DL1" s="2" t="s">
        <v>113</v>
      </c>
      <c r="DM1" s="2" t="s">
        <v>89</v>
      </c>
      <c r="DN1" s="2" t="s">
        <v>124</v>
      </c>
      <c r="DO1" s="2" t="s">
        <v>114</v>
      </c>
    </row>
    <row r="2" spans="1:119" s="13" customFormat="1" ht="72" x14ac:dyDescent="0.3">
      <c r="A2" s="7" t="s">
        <v>46</v>
      </c>
      <c r="B2" s="8" t="s">
        <v>130</v>
      </c>
      <c r="C2" s="8">
        <v>86695778963</v>
      </c>
      <c r="D2" s="8" t="s">
        <v>47</v>
      </c>
      <c r="E2" s="8" t="s">
        <v>131</v>
      </c>
      <c r="F2" s="8" t="s">
        <v>30</v>
      </c>
      <c r="G2" s="8" t="s">
        <v>28</v>
      </c>
      <c r="H2" s="8" t="s">
        <v>132</v>
      </c>
      <c r="I2" s="8" t="s">
        <v>133</v>
      </c>
      <c r="J2" s="8" t="s">
        <v>134</v>
      </c>
      <c r="K2" s="8" t="s">
        <v>0</v>
      </c>
      <c r="L2" s="7"/>
      <c r="M2" s="8" t="s">
        <v>135</v>
      </c>
      <c r="N2" s="8" t="s">
        <v>136</v>
      </c>
      <c r="O2" s="8">
        <v>5000</v>
      </c>
      <c r="P2" s="7" t="s">
        <v>176</v>
      </c>
      <c r="Q2" s="7"/>
      <c r="R2" s="7" t="s">
        <v>182</v>
      </c>
      <c r="S2" s="7" t="s">
        <v>183</v>
      </c>
      <c r="T2" s="7"/>
      <c r="U2" s="7"/>
      <c r="V2" s="9">
        <v>0.6472</v>
      </c>
      <c r="W2" s="7" t="s">
        <v>184</v>
      </c>
      <c r="X2" s="7" t="s">
        <v>185</v>
      </c>
      <c r="Y2" s="7" t="s">
        <v>186</v>
      </c>
      <c r="Z2" s="7" t="s">
        <v>187</v>
      </c>
      <c r="AA2" s="7" t="s">
        <v>188</v>
      </c>
      <c r="AB2" s="7" t="s">
        <v>189</v>
      </c>
      <c r="AC2" s="7" t="s">
        <v>190</v>
      </c>
      <c r="AD2" s="7" t="s">
        <v>191</v>
      </c>
      <c r="AE2" s="7"/>
      <c r="AF2" s="7"/>
      <c r="AG2" s="7" t="s">
        <v>162</v>
      </c>
      <c r="AH2" s="7" t="s">
        <v>137</v>
      </c>
      <c r="AI2" s="7"/>
      <c r="AJ2" s="7"/>
      <c r="AK2" s="7" t="s">
        <v>49</v>
      </c>
      <c r="AL2" s="7" t="s">
        <v>50</v>
      </c>
      <c r="AM2" s="8" t="s">
        <v>138</v>
      </c>
      <c r="AN2" s="7"/>
      <c r="AO2" s="7"/>
      <c r="AP2" s="8" t="s">
        <v>139</v>
      </c>
      <c r="AQ2" s="7"/>
      <c r="AR2" s="7"/>
      <c r="AS2" s="7"/>
      <c r="AT2" s="7"/>
      <c r="AU2" s="7"/>
      <c r="AV2" s="7" t="s">
        <v>60</v>
      </c>
      <c r="AW2" s="8">
        <v>86695778963</v>
      </c>
      <c r="AX2" s="8" t="s">
        <v>130</v>
      </c>
      <c r="AY2" s="8">
        <v>66004759611</v>
      </c>
      <c r="AZ2" s="10" t="s">
        <v>174</v>
      </c>
      <c r="BA2" s="8" t="s">
        <v>172</v>
      </c>
      <c r="BB2" s="8" t="s">
        <v>167</v>
      </c>
      <c r="BC2" s="8" t="s">
        <v>140</v>
      </c>
      <c r="BD2" s="8" t="s">
        <v>141</v>
      </c>
      <c r="BE2" s="8" t="s">
        <v>142</v>
      </c>
      <c r="BF2" s="8" t="s">
        <v>143</v>
      </c>
      <c r="BG2" s="8" t="s">
        <v>144</v>
      </c>
      <c r="BH2" s="8" t="s">
        <v>145</v>
      </c>
      <c r="BI2" s="8" t="s">
        <v>146</v>
      </c>
      <c r="BJ2" s="8" t="s">
        <v>147</v>
      </c>
      <c r="BK2" s="8" t="s">
        <v>148</v>
      </c>
      <c r="BL2" s="11" t="s">
        <v>149</v>
      </c>
      <c r="BM2" s="7" t="s">
        <v>150</v>
      </c>
      <c r="BN2" s="8" t="s">
        <v>151</v>
      </c>
      <c r="BO2" s="7"/>
      <c r="BP2" s="10" t="s">
        <v>152</v>
      </c>
      <c r="BQ2" s="12" t="s">
        <v>153</v>
      </c>
      <c r="BR2" s="8" t="s">
        <v>154</v>
      </c>
      <c r="BS2" s="8" t="s">
        <v>155</v>
      </c>
      <c r="BT2" s="8" t="s">
        <v>137</v>
      </c>
      <c r="BU2" s="7"/>
      <c r="BV2" s="7" t="s">
        <v>170</v>
      </c>
      <c r="BW2" s="7" t="s">
        <v>121</v>
      </c>
      <c r="BX2" s="7"/>
      <c r="BY2" s="8" t="s">
        <v>121</v>
      </c>
      <c r="BZ2" s="8" t="s">
        <v>156</v>
      </c>
      <c r="CA2" s="7"/>
      <c r="CB2" s="7"/>
      <c r="CC2" s="7"/>
      <c r="CD2" s="7"/>
      <c r="CE2" s="7"/>
      <c r="CF2" s="7">
        <v>70</v>
      </c>
      <c r="CG2" s="7" t="s">
        <v>48</v>
      </c>
      <c r="CH2" s="7"/>
      <c r="CI2" s="7" t="s">
        <v>159</v>
      </c>
      <c r="CJ2" s="7" t="s">
        <v>160</v>
      </c>
      <c r="CK2" s="7" t="s">
        <v>161</v>
      </c>
      <c r="CL2" s="7" t="s">
        <v>203</v>
      </c>
      <c r="CM2" s="7" t="str">
        <f>SUBSTITUTE(CL2,"APP","ENQ")</f>
        <v>ENQ-607</v>
      </c>
      <c r="CN2" s="7" t="s">
        <v>204</v>
      </c>
      <c r="CO2" s="7" t="s">
        <v>130</v>
      </c>
      <c r="CP2" s="7" t="s">
        <v>163</v>
      </c>
      <c r="CQ2" s="7" t="s">
        <v>205</v>
      </c>
      <c r="CR2" s="7" t="s">
        <v>164</v>
      </c>
      <c r="CS2" s="7"/>
      <c r="CT2" s="7"/>
      <c r="CU2" s="11" t="s">
        <v>165</v>
      </c>
      <c r="CV2" s="11"/>
      <c r="CW2" s="11" t="s">
        <v>177</v>
      </c>
      <c r="CX2" s="11" t="s">
        <v>178</v>
      </c>
      <c r="CY2" s="11" t="s">
        <v>28</v>
      </c>
      <c r="CZ2" s="11" t="s">
        <v>28</v>
      </c>
      <c r="DA2" s="11"/>
      <c r="DB2" s="11" t="s">
        <v>179</v>
      </c>
      <c r="DC2" s="11" t="s">
        <v>30</v>
      </c>
      <c r="DD2" s="11" t="s">
        <v>180</v>
      </c>
      <c r="DE2" s="11"/>
      <c r="DF2" s="11" t="s">
        <v>181</v>
      </c>
      <c r="DG2" s="11"/>
      <c r="DH2" s="11" t="s">
        <v>122</v>
      </c>
      <c r="DI2" s="11"/>
      <c r="DJ2" s="11" t="s">
        <v>123</v>
      </c>
      <c r="DK2" s="11"/>
      <c r="DL2" s="11"/>
      <c r="DM2" s="11"/>
      <c r="DN2" s="11"/>
      <c r="DO2" s="8" t="s">
        <v>157</v>
      </c>
    </row>
    <row r="3" spans="1:119" s="13" customFormat="1" ht="72" x14ac:dyDescent="0.3">
      <c r="A3" s="7" t="s">
        <v>115</v>
      </c>
      <c r="B3" s="8" t="s">
        <v>130</v>
      </c>
      <c r="C3" s="8">
        <v>86695778963</v>
      </c>
      <c r="D3" s="8" t="s">
        <v>47</v>
      </c>
      <c r="E3" s="8" t="s">
        <v>131</v>
      </c>
      <c r="F3" s="8" t="s">
        <v>30</v>
      </c>
      <c r="G3" s="8" t="s">
        <v>28</v>
      </c>
      <c r="H3" s="8" t="s">
        <v>132</v>
      </c>
      <c r="I3" s="8" t="s">
        <v>133</v>
      </c>
      <c r="J3" s="8" t="s">
        <v>134</v>
      </c>
      <c r="K3" s="8" t="s">
        <v>0</v>
      </c>
      <c r="L3" s="7"/>
      <c r="M3" s="8" t="s">
        <v>135</v>
      </c>
      <c r="N3" s="8" t="s">
        <v>136</v>
      </c>
      <c r="O3" s="8" t="s">
        <v>192</v>
      </c>
      <c r="P3" s="7" t="s">
        <v>176</v>
      </c>
      <c r="Q3" s="7"/>
      <c r="R3" s="7" t="s">
        <v>182</v>
      </c>
      <c r="S3" s="7" t="s">
        <v>183</v>
      </c>
      <c r="T3" s="7"/>
      <c r="U3" s="7"/>
      <c r="V3" s="9">
        <v>0.6472</v>
      </c>
      <c r="W3" s="7" t="s">
        <v>184</v>
      </c>
      <c r="X3" s="7" t="s">
        <v>185</v>
      </c>
      <c r="Y3" s="7" t="s">
        <v>186</v>
      </c>
      <c r="Z3" s="7" t="s">
        <v>187</v>
      </c>
      <c r="AA3" s="7" t="s">
        <v>188</v>
      </c>
      <c r="AB3" s="7" t="s">
        <v>189</v>
      </c>
      <c r="AC3" s="7" t="s">
        <v>190</v>
      </c>
      <c r="AD3" s="7" t="s">
        <v>191</v>
      </c>
      <c r="AE3" s="7"/>
      <c r="AF3" s="7"/>
      <c r="AG3" s="7" t="s">
        <v>162</v>
      </c>
      <c r="AH3" s="7" t="s">
        <v>137</v>
      </c>
      <c r="AI3" s="7"/>
      <c r="AJ3" s="7"/>
      <c r="AK3" s="7" t="s">
        <v>49</v>
      </c>
      <c r="AL3" s="7" t="s">
        <v>50</v>
      </c>
      <c r="AM3" s="8" t="s">
        <v>138</v>
      </c>
      <c r="AN3" s="7"/>
      <c r="AO3" s="7"/>
      <c r="AP3" s="8" t="s">
        <v>139</v>
      </c>
      <c r="AQ3" s="7"/>
      <c r="AR3" s="7"/>
      <c r="AS3" s="7"/>
      <c r="AT3" s="7"/>
      <c r="AU3" s="7"/>
      <c r="AV3" s="7" t="s">
        <v>60</v>
      </c>
      <c r="AW3" s="8">
        <v>86695778963</v>
      </c>
      <c r="AX3" s="8" t="s">
        <v>130</v>
      </c>
      <c r="AY3" s="8">
        <v>66004759611</v>
      </c>
      <c r="AZ3" s="10" t="s">
        <v>174</v>
      </c>
      <c r="BA3" s="8" t="s">
        <v>172</v>
      </c>
      <c r="BB3" s="8" t="s">
        <v>167</v>
      </c>
      <c r="BC3" s="8" t="s">
        <v>140</v>
      </c>
      <c r="BD3" s="8" t="s">
        <v>141</v>
      </c>
      <c r="BE3" s="8" t="s">
        <v>142</v>
      </c>
      <c r="BF3" s="8" t="s">
        <v>143</v>
      </c>
      <c r="BG3" s="8" t="s">
        <v>144</v>
      </c>
      <c r="BH3" s="8" t="s">
        <v>145</v>
      </c>
      <c r="BI3" s="8" t="s">
        <v>146</v>
      </c>
      <c r="BJ3" s="8" t="s">
        <v>147</v>
      </c>
      <c r="BK3" s="8" t="s">
        <v>148</v>
      </c>
      <c r="BL3" s="11" t="s">
        <v>168</v>
      </c>
      <c r="BM3" s="7" t="s">
        <v>150</v>
      </c>
      <c r="BN3" s="8" t="s">
        <v>151</v>
      </c>
      <c r="BO3" s="7"/>
      <c r="BP3" s="10" t="s">
        <v>152</v>
      </c>
      <c r="BQ3" s="12" t="s">
        <v>153</v>
      </c>
      <c r="BR3" s="8" t="s">
        <v>154</v>
      </c>
      <c r="BS3" s="8" t="s">
        <v>155</v>
      </c>
      <c r="BT3" s="8" t="s">
        <v>137</v>
      </c>
      <c r="BU3" s="7"/>
      <c r="BV3" s="7" t="s">
        <v>170</v>
      </c>
      <c r="BW3" s="7" t="s">
        <v>121</v>
      </c>
      <c r="BX3" s="7"/>
      <c r="BY3" s="8" t="s">
        <v>121</v>
      </c>
      <c r="BZ3" s="8" t="s">
        <v>156</v>
      </c>
      <c r="CA3" s="7"/>
      <c r="CB3" s="7"/>
      <c r="CC3" s="7"/>
      <c r="CD3" s="7"/>
      <c r="CE3" s="7"/>
      <c r="CF3" s="7">
        <v>70</v>
      </c>
      <c r="CG3" s="7" t="s">
        <v>48</v>
      </c>
      <c r="CH3" s="7"/>
      <c r="CI3" s="7" t="s">
        <v>159</v>
      </c>
      <c r="CJ3" s="7" t="s">
        <v>160</v>
      </c>
      <c r="CK3" s="7" t="s">
        <v>161</v>
      </c>
      <c r="CL3" s="7" t="s">
        <v>116</v>
      </c>
      <c r="CM3" s="7" t="s">
        <v>196</v>
      </c>
      <c r="CN3" s="7" t="s">
        <v>117</v>
      </c>
      <c r="CO3" s="7" t="s">
        <v>118</v>
      </c>
      <c r="CP3" s="7" t="s">
        <v>120</v>
      </c>
      <c r="CQ3" s="7"/>
      <c r="CR3" s="7" t="s">
        <v>119</v>
      </c>
      <c r="CS3" s="7"/>
      <c r="CT3" s="7"/>
      <c r="CU3" s="11" t="s">
        <v>165</v>
      </c>
      <c r="CV3" s="11"/>
      <c r="CW3" s="11" t="s">
        <v>177</v>
      </c>
      <c r="CX3" s="11" t="s">
        <v>178</v>
      </c>
      <c r="CY3" s="11" t="s">
        <v>28</v>
      </c>
      <c r="CZ3" s="11" t="s">
        <v>28</v>
      </c>
      <c r="DA3" s="11"/>
      <c r="DB3" s="11" t="s">
        <v>179</v>
      </c>
      <c r="DC3" s="11" t="s">
        <v>30</v>
      </c>
      <c r="DD3" s="11" t="s">
        <v>180</v>
      </c>
      <c r="DE3" s="11"/>
      <c r="DF3" s="11" t="s">
        <v>181</v>
      </c>
      <c r="DG3" s="11"/>
      <c r="DH3" s="11" t="s">
        <v>122</v>
      </c>
      <c r="DI3" s="11"/>
      <c r="DJ3" s="11" t="s">
        <v>123</v>
      </c>
      <c r="DK3" s="11"/>
      <c r="DL3" s="11"/>
      <c r="DM3" s="11"/>
      <c r="DN3" s="11"/>
      <c r="DO3" s="7"/>
    </row>
    <row r="4" spans="1:119" s="13" customFormat="1" ht="72" x14ac:dyDescent="0.3">
      <c r="A4" s="7" t="s">
        <v>127</v>
      </c>
      <c r="B4" s="8" t="s">
        <v>130</v>
      </c>
      <c r="C4" s="8">
        <v>86695778963</v>
      </c>
      <c r="D4" s="8" t="s">
        <v>47</v>
      </c>
      <c r="E4" s="8" t="s">
        <v>131</v>
      </c>
      <c r="F4" s="8" t="s">
        <v>30</v>
      </c>
      <c r="G4" s="8" t="s">
        <v>28</v>
      </c>
      <c r="H4" s="8" t="s">
        <v>132</v>
      </c>
      <c r="I4" s="8" t="s">
        <v>133</v>
      </c>
      <c r="J4" s="8" t="s">
        <v>134</v>
      </c>
      <c r="K4" s="8" t="s">
        <v>0</v>
      </c>
      <c r="L4" s="7"/>
      <c r="M4" s="8" t="s">
        <v>135</v>
      </c>
      <c r="N4" s="8" t="s">
        <v>136</v>
      </c>
      <c r="O4" s="8" t="s">
        <v>192</v>
      </c>
      <c r="P4" s="7" t="s">
        <v>176</v>
      </c>
      <c r="Q4" s="7"/>
      <c r="R4" s="7" t="s">
        <v>182</v>
      </c>
      <c r="S4" s="7" t="s">
        <v>183</v>
      </c>
      <c r="T4" s="7"/>
      <c r="U4" s="7"/>
      <c r="V4" s="9">
        <v>0.6472</v>
      </c>
      <c r="W4" s="7" t="s">
        <v>184</v>
      </c>
      <c r="X4" s="7" t="s">
        <v>185</v>
      </c>
      <c r="Y4" s="7" t="s">
        <v>186</v>
      </c>
      <c r="Z4" s="7" t="s">
        <v>187</v>
      </c>
      <c r="AA4" s="7" t="s">
        <v>188</v>
      </c>
      <c r="AB4" s="7" t="s">
        <v>189</v>
      </c>
      <c r="AC4" s="7" t="s">
        <v>190</v>
      </c>
      <c r="AD4" s="7" t="s">
        <v>191</v>
      </c>
      <c r="AE4" s="7"/>
      <c r="AF4" s="7"/>
      <c r="AG4" s="7" t="s">
        <v>162</v>
      </c>
      <c r="AH4" s="7" t="s">
        <v>137</v>
      </c>
      <c r="AI4" s="7"/>
      <c r="AJ4" s="7"/>
      <c r="AK4" s="7" t="s">
        <v>49</v>
      </c>
      <c r="AL4" s="7" t="s">
        <v>50</v>
      </c>
      <c r="AM4" s="8" t="s">
        <v>138</v>
      </c>
      <c r="AN4" s="7"/>
      <c r="AO4" s="7"/>
      <c r="AP4" s="8" t="s">
        <v>139</v>
      </c>
      <c r="AQ4" s="7"/>
      <c r="AR4" s="7"/>
      <c r="AS4" s="7"/>
      <c r="AT4" s="7"/>
      <c r="AU4" s="7"/>
      <c r="AV4" s="7" t="s">
        <v>60</v>
      </c>
      <c r="AW4" s="8">
        <v>86695778963</v>
      </c>
      <c r="AX4" s="8" t="s">
        <v>130</v>
      </c>
      <c r="AY4" s="8">
        <v>66004759611</v>
      </c>
      <c r="AZ4" s="10" t="s">
        <v>174</v>
      </c>
      <c r="BA4" s="8" t="s">
        <v>172</v>
      </c>
      <c r="BB4" s="8" t="s">
        <v>167</v>
      </c>
      <c r="BC4" s="8" t="s">
        <v>140</v>
      </c>
      <c r="BD4" s="8" t="s">
        <v>141</v>
      </c>
      <c r="BE4" s="8" t="s">
        <v>142</v>
      </c>
      <c r="BF4" s="8" t="s">
        <v>143</v>
      </c>
      <c r="BG4" s="8" t="s">
        <v>144</v>
      </c>
      <c r="BH4" s="8" t="s">
        <v>145</v>
      </c>
      <c r="BI4" s="8" t="s">
        <v>146</v>
      </c>
      <c r="BJ4" s="8" t="s">
        <v>147</v>
      </c>
      <c r="BK4" s="8" t="s">
        <v>148</v>
      </c>
      <c r="BL4" s="11" t="s">
        <v>168</v>
      </c>
      <c r="BM4" s="7" t="s">
        <v>150</v>
      </c>
      <c r="BN4" s="8" t="s">
        <v>151</v>
      </c>
      <c r="BO4" s="7"/>
      <c r="BP4" s="10" t="s">
        <v>152</v>
      </c>
      <c r="BQ4" s="12" t="s">
        <v>153</v>
      </c>
      <c r="BR4" s="8" t="s">
        <v>154</v>
      </c>
      <c r="BS4" s="8" t="s">
        <v>155</v>
      </c>
      <c r="BT4" s="8" t="s">
        <v>137</v>
      </c>
      <c r="BU4" s="7"/>
      <c r="BV4" s="7" t="s">
        <v>170</v>
      </c>
      <c r="BW4" s="7" t="s">
        <v>121</v>
      </c>
      <c r="BX4" s="7"/>
      <c r="BY4" s="8" t="s">
        <v>121</v>
      </c>
      <c r="BZ4" s="8" t="s">
        <v>156</v>
      </c>
      <c r="CA4" s="7"/>
      <c r="CB4" s="7"/>
      <c r="CC4" s="7"/>
      <c r="CD4" s="7"/>
      <c r="CE4" s="7"/>
      <c r="CF4" s="7">
        <v>70</v>
      </c>
      <c r="CG4" s="7" t="s">
        <v>48</v>
      </c>
      <c r="CH4" s="7"/>
      <c r="CI4" s="7" t="s">
        <v>159</v>
      </c>
      <c r="CJ4" s="7" t="s">
        <v>160</v>
      </c>
      <c r="CK4" s="7" t="s">
        <v>161</v>
      </c>
      <c r="CL4" s="7" t="s">
        <v>116</v>
      </c>
      <c r="CM4" s="7" t="s">
        <v>196</v>
      </c>
      <c r="CN4" s="7" t="s">
        <v>117</v>
      </c>
      <c r="CO4" s="7" t="s">
        <v>118</v>
      </c>
      <c r="CP4" s="7" t="s">
        <v>120</v>
      </c>
      <c r="CQ4" s="7"/>
      <c r="CR4" s="7" t="s">
        <v>119</v>
      </c>
      <c r="CS4" s="7"/>
      <c r="CT4" s="7"/>
      <c r="CU4" s="11" t="s">
        <v>165</v>
      </c>
      <c r="CV4" s="11"/>
      <c r="CW4" s="11" t="s">
        <v>177</v>
      </c>
      <c r="CX4" s="11" t="s">
        <v>178</v>
      </c>
      <c r="CY4" s="11" t="s">
        <v>28</v>
      </c>
      <c r="CZ4" s="11" t="s">
        <v>28</v>
      </c>
      <c r="DA4" s="11"/>
      <c r="DB4" s="11" t="s">
        <v>179</v>
      </c>
      <c r="DC4" s="11" t="s">
        <v>30</v>
      </c>
      <c r="DD4" s="11" t="s">
        <v>180</v>
      </c>
      <c r="DE4" s="11"/>
      <c r="DF4" s="11" t="s">
        <v>181</v>
      </c>
      <c r="DG4" s="11"/>
      <c r="DH4" s="11" t="s">
        <v>122</v>
      </c>
      <c r="DI4" s="11"/>
      <c r="DJ4" s="11" t="s">
        <v>123</v>
      </c>
      <c r="DK4" s="11"/>
      <c r="DL4" s="11"/>
      <c r="DM4" s="11"/>
      <c r="DN4" s="11" t="s">
        <v>125</v>
      </c>
      <c r="DO4" s="7"/>
    </row>
    <row r="5" spans="1:119" s="13" customFormat="1" ht="92.4" x14ac:dyDescent="0.3">
      <c r="A5" s="7" t="s">
        <v>128</v>
      </c>
      <c r="B5" s="8" t="s">
        <v>130</v>
      </c>
      <c r="C5" s="8">
        <v>86695778963</v>
      </c>
      <c r="D5" s="8" t="s">
        <v>47</v>
      </c>
      <c r="E5" s="8" t="s">
        <v>131</v>
      </c>
      <c r="F5" s="8" t="s">
        <v>30</v>
      </c>
      <c r="G5" s="8" t="s">
        <v>28</v>
      </c>
      <c r="H5" s="8" t="s">
        <v>132</v>
      </c>
      <c r="I5" s="8" t="s">
        <v>133</v>
      </c>
      <c r="J5" s="8" t="s">
        <v>134</v>
      </c>
      <c r="K5" s="8" t="s">
        <v>0</v>
      </c>
      <c r="L5" s="7"/>
      <c r="M5" s="8" t="s">
        <v>135</v>
      </c>
      <c r="N5" s="8" t="s">
        <v>136</v>
      </c>
      <c r="O5" s="8" t="s">
        <v>192</v>
      </c>
      <c r="P5" s="7" t="s">
        <v>176</v>
      </c>
      <c r="Q5" s="7"/>
      <c r="R5" s="7" t="s">
        <v>182</v>
      </c>
      <c r="S5" s="7" t="s">
        <v>183</v>
      </c>
      <c r="T5" s="7"/>
      <c r="U5" s="7"/>
      <c r="V5" s="9">
        <v>0.6472</v>
      </c>
      <c r="W5" s="7" t="s">
        <v>184</v>
      </c>
      <c r="X5" s="7" t="s">
        <v>185</v>
      </c>
      <c r="Y5" s="7" t="s">
        <v>186</v>
      </c>
      <c r="Z5" s="7" t="s">
        <v>187</v>
      </c>
      <c r="AA5" s="7" t="s">
        <v>188</v>
      </c>
      <c r="AB5" s="7" t="s">
        <v>189</v>
      </c>
      <c r="AC5" s="7" t="s">
        <v>190</v>
      </c>
      <c r="AD5" s="7" t="s">
        <v>191</v>
      </c>
      <c r="AE5" s="7"/>
      <c r="AF5" s="7"/>
      <c r="AG5" s="7" t="s">
        <v>162</v>
      </c>
      <c r="AH5" s="7" t="s">
        <v>137</v>
      </c>
      <c r="AI5" s="7"/>
      <c r="AJ5" s="7"/>
      <c r="AK5" s="7" t="s">
        <v>49</v>
      </c>
      <c r="AL5" s="7" t="s">
        <v>50</v>
      </c>
      <c r="AM5" s="8" t="s">
        <v>138</v>
      </c>
      <c r="AN5" s="7"/>
      <c r="AO5" s="7"/>
      <c r="AP5" s="8" t="s">
        <v>139</v>
      </c>
      <c r="AQ5" s="7"/>
      <c r="AR5" s="7"/>
      <c r="AS5" s="7"/>
      <c r="AT5" s="7"/>
      <c r="AU5" s="7"/>
      <c r="AV5" s="7" t="s">
        <v>60</v>
      </c>
      <c r="AW5" s="8">
        <v>86695778963</v>
      </c>
      <c r="AX5" s="8" t="s">
        <v>130</v>
      </c>
      <c r="AY5" s="8">
        <v>66004759611</v>
      </c>
      <c r="AZ5" s="10" t="s">
        <v>174</v>
      </c>
      <c r="BA5" s="8" t="s">
        <v>172</v>
      </c>
      <c r="BB5" s="8" t="s">
        <v>167</v>
      </c>
      <c r="BC5" s="8" t="s">
        <v>140</v>
      </c>
      <c r="BD5" s="8" t="s">
        <v>141</v>
      </c>
      <c r="BE5" s="8" t="s">
        <v>142</v>
      </c>
      <c r="BF5" s="8" t="s">
        <v>143</v>
      </c>
      <c r="BG5" s="8" t="s">
        <v>144</v>
      </c>
      <c r="BH5" s="8" t="s">
        <v>145</v>
      </c>
      <c r="BI5" s="8" t="s">
        <v>146</v>
      </c>
      <c r="BJ5" s="8" t="s">
        <v>147</v>
      </c>
      <c r="BK5" s="8" t="s">
        <v>148</v>
      </c>
      <c r="BL5" s="11" t="s">
        <v>168</v>
      </c>
      <c r="BM5" s="7" t="s">
        <v>150</v>
      </c>
      <c r="BN5" s="8" t="s">
        <v>151</v>
      </c>
      <c r="BO5" s="7"/>
      <c r="BP5" s="10" t="s">
        <v>152</v>
      </c>
      <c r="BQ5" s="12" t="s">
        <v>153</v>
      </c>
      <c r="BR5" s="8" t="s">
        <v>154</v>
      </c>
      <c r="BS5" s="8" t="s">
        <v>155</v>
      </c>
      <c r="BT5" s="8" t="s">
        <v>137</v>
      </c>
      <c r="BU5" s="7"/>
      <c r="BV5" s="7" t="s">
        <v>170</v>
      </c>
      <c r="BW5" s="7" t="s">
        <v>121</v>
      </c>
      <c r="BX5" s="7"/>
      <c r="BY5" s="8" t="s">
        <v>121</v>
      </c>
      <c r="BZ5" s="8" t="s">
        <v>156</v>
      </c>
      <c r="CA5" s="7"/>
      <c r="CB5" s="7"/>
      <c r="CC5" s="7"/>
      <c r="CD5" s="7"/>
      <c r="CE5" s="7"/>
      <c r="CF5" s="7">
        <v>70</v>
      </c>
      <c r="CG5" s="7" t="s">
        <v>48</v>
      </c>
      <c r="CH5" s="7"/>
      <c r="CI5" s="7" t="s">
        <v>159</v>
      </c>
      <c r="CJ5" s="7" t="s">
        <v>160</v>
      </c>
      <c r="CK5" s="7" t="s">
        <v>161</v>
      </c>
      <c r="CL5" s="7" t="s">
        <v>116</v>
      </c>
      <c r="CM5" s="7" t="s">
        <v>196</v>
      </c>
      <c r="CN5" s="7" t="s">
        <v>117</v>
      </c>
      <c r="CO5" s="7" t="s">
        <v>118</v>
      </c>
      <c r="CP5" s="7" t="s">
        <v>120</v>
      </c>
      <c r="CQ5" s="7"/>
      <c r="CR5" s="7" t="s">
        <v>119</v>
      </c>
      <c r="CS5" s="7"/>
      <c r="CT5" s="7"/>
      <c r="CU5" s="11" t="s">
        <v>165</v>
      </c>
      <c r="CV5" s="11"/>
      <c r="CW5" s="11" t="s">
        <v>177</v>
      </c>
      <c r="CX5" s="11" t="s">
        <v>178</v>
      </c>
      <c r="CY5" s="11" t="s">
        <v>28</v>
      </c>
      <c r="CZ5" s="11" t="s">
        <v>28</v>
      </c>
      <c r="DA5" s="11"/>
      <c r="DB5" s="11" t="s">
        <v>179</v>
      </c>
      <c r="DC5" s="11" t="s">
        <v>30</v>
      </c>
      <c r="DD5" s="11" t="s">
        <v>180</v>
      </c>
      <c r="DE5" s="11"/>
      <c r="DF5" s="11" t="s">
        <v>181</v>
      </c>
      <c r="DG5" s="11"/>
      <c r="DH5" s="11" t="s">
        <v>122</v>
      </c>
      <c r="DI5" s="11"/>
      <c r="DJ5" s="11" t="s">
        <v>123</v>
      </c>
      <c r="DK5" s="11" t="s">
        <v>129</v>
      </c>
      <c r="DL5" s="11" t="s">
        <v>126</v>
      </c>
      <c r="DM5" s="11"/>
      <c r="DN5" s="11" t="s">
        <v>125</v>
      </c>
      <c r="DO5" s="7"/>
    </row>
    <row r="6" spans="1:119" s="5" customForma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119" s="5" customForma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119" s="5" customForma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119" s="5" customForma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119" s="5" customForma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119" s="5" customForma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</row>
    <row r="12" spans="1:119" s="5" customForma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</row>
    <row r="13" spans="1:119" s="5" customForma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</row>
    <row r="14" spans="1:119" s="5" customForma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</row>
    <row r="15" spans="1:119" s="5" customForma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</row>
    <row r="16" spans="1:119" s="5" customForma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</row>
    <row r="17" spans="1:119" s="5" customForma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</row>
    <row r="18" spans="1:119" s="5" customForma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</row>
    <row r="19" spans="1:119" s="5" customForma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</row>
    <row r="20" spans="1:119" s="5" customForma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</row>
    <row r="21" spans="1:119" s="5" customForma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</row>
    <row r="22" spans="1:119" s="5" customForma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</row>
  </sheetData>
  <hyperlinks>
    <hyperlink ref="BQ2" r:id="rId1" xr:uid="{4C34A23C-4FFD-43B4-9A47-6E3A1B16871E}"/>
    <hyperlink ref="BQ3" r:id="rId2" xr:uid="{05667C52-260D-407F-BC9A-7EBACAA66E1E}"/>
    <hyperlink ref="BQ4" r:id="rId3" xr:uid="{6B014AED-F03A-4F95-B62A-833A59DE457D}"/>
    <hyperlink ref="BQ5" r:id="rId4" xr:uid="{572C4EFA-C775-4794-942F-0B3CDAFE5D8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2025-12-01T12:03:02Z</dcterms:created>
  <dc:creator>Sonu Singh</dc:creator>
  <cp:lastModifiedBy>Sonu Singh</cp:lastModifiedBy>
  <dcterms:modified xsi:type="dcterms:W3CDTF">2026-02-05T13:10:13Z</dcterms:modified>
</cp:coreProperties>
</file>